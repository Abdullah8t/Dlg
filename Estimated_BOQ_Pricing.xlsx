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d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</t>
        </is>
      </c>
      <c r="B1" s="1" t="inlineStr">
        <is>
          <t>Item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Estimated Unit Price (USD)</t>
        </is>
      </c>
      <c r="F1" s="1" t="inlineStr">
        <is>
          <t>Estimated Total (USD)</t>
        </is>
      </c>
      <c r="G1" s="1" t="inlineStr">
        <is>
          <t>Estimated Total (NGN)</t>
        </is>
      </c>
    </row>
    <row r="2">
      <c r="A2" t="inlineStr">
        <is>
          <t>Sr. No.</t>
        </is>
      </c>
      <c r="B2" t="inlineStr">
        <is>
          <t>Item</t>
        </is>
      </c>
      <c r="C2" t="inlineStr">
        <is>
          <t>Unit</t>
        </is>
      </c>
      <c r="D2" t="inlineStr">
        <is>
          <t>BOQ Quantity</t>
        </is>
      </c>
      <c r="E2" t="inlineStr"/>
      <c r="F2" t="inlineStr"/>
      <c r="G2" t="inlineStr"/>
    </row>
    <row r="3">
      <c r="A3" t="n">
        <v>1</v>
      </c>
      <c r="B3" t="inlineStr">
        <is>
          <t>Battery Container- 6250 kWh</t>
        </is>
      </c>
      <c r="C3" t="inlineStr">
        <is>
          <t>Nos.</t>
        </is>
      </c>
      <c r="D3" t="n">
        <v>9</v>
      </c>
      <c r="E3" t="n">
        <v>700000</v>
      </c>
      <c r="F3" t="n">
        <v>6300000</v>
      </c>
      <c r="G3" t="n">
        <v>8574300000</v>
      </c>
    </row>
    <row r="4">
      <c r="A4" t="n">
        <v>2</v>
      </c>
      <c r="B4" t="inlineStr">
        <is>
          <t xml:space="preserve">MV Station </t>
        </is>
      </c>
      <c r="C4" t="inlineStr"/>
      <c r="D4" t="inlineStr"/>
      <c r="E4" t="inlineStr"/>
      <c r="F4" t="inlineStr"/>
      <c r="G4" t="inlineStr"/>
    </row>
    <row r="5">
      <c r="A5">
        <f>A5+(0.1)</f>
        <v/>
      </c>
      <c r="B5" t="inlineStr">
        <is>
          <t>PCS (4 sets of 2500 kVA ) + 10.0 MVA MV Station &amp; Aux. System</t>
        </is>
      </c>
      <c r="C5" t="inlineStr">
        <is>
          <t>Nos.</t>
        </is>
      </c>
      <c r="D5" t="n">
        <v>4</v>
      </c>
      <c r="E5" t="n">
        <v>450000</v>
      </c>
      <c r="F5" t="n">
        <v>1800000</v>
      </c>
      <c r="G5" t="n">
        <v>2449800000</v>
      </c>
    </row>
    <row r="6">
      <c r="A6" t="inlineStr"/>
      <c r="B6" t="inlineStr">
        <is>
          <t>PCS (2 sets of 2500 kVA ) + 5.0 MVA MV Station &amp; Aux. System  &amp; Aux. System</t>
        </is>
      </c>
      <c r="C6" t="inlineStr">
        <is>
          <t>Nos.</t>
        </is>
      </c>
      <c r="D6" t="n">
        <v>1</v>
      </c>
      <c r="E6" t="n">
        <v>300000</v>
      </c>
      <c r="F6" t="n">
        <v>300000</v>
      </c>
      <c r="G6" t="n">
        <v>408300000</v>
      </c>
    </row>
    <row r="7">
      <c r="A7" t="n">
        <v>3</v>
      </c>
      <c r="B7" t="inlineStr">
        <is>
          <t>Energy Management System - EMS &amp; SCADA</t>
        </is>
      </c>
      <c r="C7" t="inlineStr">
        <is>
          <t>Set</t>
        </is>
      </c>
      <c r="D7" t="n">
        <v>1</v>
      </c>
      <c r="E7" t="n">
        <v>100000</v>
      </c>
      <c r="F7" t="n">
        <v>100000</v>
      </c>
      <c r="G7" t="n">
        <v>136100000</v>
      </c>
    </row>
    <row r="8">
      <c r="A8" t="n">
        <v>4</v>
      </c>
      <c r="B8" t="inlineStr">
        <is>
          <t>Auxilary Transformer</t>
        </is>
      </c>
      <c r="C8" t="inlineStr"/>
      <c r="D8" t="inlineStr"/>
      <c r="E8" t="n">
        <v>75000</v>
      </c>
      <c r="F8" t="inlineStr"/>
      <c r="G8" t="inlineStr"/>
    </row>
    <row r="9">
      <c r="A9">
        <f>A9+(0.1)</f>
        <v/>
      </c>
      <c r="B9" t="inlineStr">
        <is>
          <t xml:space="preserve">Aux. Power Trafo &amp; Panel 
30 / 0.410 kV, 750 kVA , Z = 5%, Dyn11, ONAN, Oil Type Aux. Transformer  with associated MDB complete with all accessories.
IP 55 Enclosure for Aux. Trafo &amp; the MDB.
MDB Configuration-
410 V I/C- 1600 A FP ACB
equipped with ON, OFF LED Indication lamps.
200A 4 pole 410 V O/G- 13 No.
ACBs shall have inbuilt LSIG Protection. </t>
        </is>
      </c>
      <c r="C9" t="inlineStr">
        <is>
          <t xml:space="preserve">Set </t>
        </is>
      </c>
      <c r="D9" t="n">
        <v>2</v>
      </c>
      <c r="E9" t="n">
        <v>75000</v>
      </c>
      <c r="F9" t="n">
        <v>150000</v>
      </c>
      <c r="G9" t="n">
        <v>204150000</v>
      </c>
    </row>
    <row r="10">
      <c r="A10" t="n">
        <v>5</v>
      </c>
      <c r="B10" t="inlineStr">
        <is>
          <t>UPS</t>
        </is>
      </c>
      <c r="C10" t="inlineStr"/>
      <c r="D10" t="inlineStr"/>
      <c r="E10" t="inlineStr"/>
      <c r="F10" t="inlineStr"/>
      <c r="G10" t="inlineStr"/>
    </row>
    <row r="11">
      <c r="A11">
        <f>A11+(0.1)</f>
        <v/>
      </c>
      <c r="B11" t="inlineStr">
        <is>
          <t xml:space="preserve">UPS 5kVA, 3phase (400V) IN Single Phase out (230V)  with Main + Bypass &amp; Static Switch with 3hrs Backup , Autonomy Time - 3 Hours  with 1 x 100% battary </t>
        </is>
      </c>
      <c r="C11" t="inlineStr"/>
      <c r="D11" t="n">
        <v>0</v>
      </c>
      <c r="E11" t="inlineStr"/>
      <c r="F11" t="inlineStr"/>
      <c r="G11" t="inlineStr"/>
    </row>
    <row r="12">
      <c r="A12">
        <f>A12+(0.1)</f>
        <v/>
      </c>
      <c r="B12" t="inlineStr">
        <is>
          <t>UPS DB: 230V, 32A, 10kA for 1 sec, Form 2B , 1 no. I/C MCB 32A, 16 no. O/G 10A MCB with Astronomical Timer, A/M switch for light circuit, Insulation monitoring relay</t>
        </is>
      </c>
      <c r="C12" t="inlineStr"/>
      <c r="D12" t="n">
        <v>0</v>
      </c>
      <c r="E12" t="inlineStr"/>
      <c r="F12" t="inlineStr"/>
      <c r="G12" t="inlineStr"/>
    </row>
    <row r="13">
      <c r="A13" t="n">
        <v>6</v>
      </c>
      <c r="B13" t="inlineStr">
        <is>
          <t>Batteries and Charger</t>
        </is>
      </c>
      <c r="C13" t="inlineStr"/>
      <c r="D13" t="inlineStr"/>
      <c r="E13" t="inlineStr"/>
      <c r="F13" t="inlineStr"/>
      <c r="G13" t="inlineStr"/>
    </row>
    <row r="14">
      <c r="A14">
        <f>A14+(0.1)</f>
        <v/>
      </c>
      <c r="B14" t="inlineStr">
        <is>
          <t>48 V DC, 250 AH (NI-CD ) battery. (with 3hrs backup)</t>
        </is>
      </c>
      <c r="C14" t="inlineStr"/>
      <c r="D14" t="n">
        <v>0</v>
      </c>
      <c r="E14" t="inlineStr"/>
      <c r="F14" t="inlineStr"/>
      <c r="G14" t="inlineStr"/>
    </row>
    <row r="15">
      <c r="A15">
        <f>A15+(0.1)</f>
        <v/>
      </c>
      <c r="B15" t="inlineStr">
        <is>
          <t>Float cum Boost Charger , 1 x 100%, 48 V DC, 35A charger for above mentioned batteries (1x100% duty battery charger)</t>
        </is>
      </c>
      <c r="C15" t="inlineStr"/>
      <c r="D15" t="n">
        <v>0</v>
      </c>
      <c r="E15" t="inlineStr"/>
      <c r="F15" t="inlineStr"/>
      <c r="G15" t="inlineStr"/>
    </row>
    <row r="16">
      <c r="A16" t="n">
        <v>7</v>
      </c>
      <c r="B16" t="inlineStr">
        <is>
          <t>DCDBs</t>
        </is>
      </c>
      <c r="C16" t="inlineStr"/>
      <c r="D16" t="inlineStr"/>
      <c r="E16" t="inlineStr"/>
      <c r="F16" t="inlineStr"/>
      <c r="G16" t="inlineStr"/>
    </row>
    <row r="17">
      <c r="A17">
        <f>A17+(0.1)</f>
        <v/>
      </c>
      <c r="B17" t="inlineStr">
        <is>
          <t>DCDB 48V (with change over switch)
# Incomer 63A DP MCCB -  1 No
# Outgoing 16A DP MCB,10kA -  12 Nos
# Outgoing 10A DP MCB,10kA -  8 Nos</t>
        </is>
      </c>
      <c r="C17" t="inlineStr"/>
      <c r="D17" t="n">
        <v>0</v>
      </c>
      <c r="E17" t="inlineStr"/>
      <c r="F17" t="inlineStr"/>
      <c r="G17" t="inlineStr"/>
    </row>
    <row r="18">
      <c r="A18">
        <f>A18+(0.1)</f>
        <v/>
      </c>
      <c r="B18" t="inlineStr">
        <is>
          <t>300 kVA DG Set with Alternator, Diesel Engine, Circuit Breaker with Automatic changeover arrangement, necessary protection, Control &amp; Monitoring System, Exhaust System, Fuel Storage tank(990 litres) (Inbuilt to DG set) etc.</t>
        </is>
      </c>
      <c r="C18" t="inlineStr">
        <is>
          <t>Nos.</t>
        </is>
      </c>
      <c r="D18" t="n">
        <v>1</v>
      </c>
      <c r="E18" t="n">
        <v>70000</v>
      </c>
      <c r="F18" t="n">
        <v>70000</v>
      </c>
      <c r="G18" t="n">
        <v>95270000</v>
      </c>
    </row>
    <row r="19">
      <c r="A19" t="n">
        <v>8</v>
      </c>
      <c r="B19" t="inlineStr">
        <is>
          <t>LV Panel / Distribution Boards</t>
        </is>
      </c>
      <c r="C19" t="inlineStr"/>
      <c r="D19" t="inlineStr"/>
      <c r="E19" t="inlineStr"/>
      <c r="F19" t="inlineStr"/>
      <c r="G19" t="inlineStr"/>
    </row>
    <row r="20">
      <c r="A20">
        <f>A20+(0.1)</f>
        <v/>
      </c>
      <c r="B20" t="inlineStr">
        <is>
          <t>LT  Panel for BESS System: 410 V, 3Phase+N+PE, 50kA, 1 sec,  Form -3, IP 42 Construction 
# Incomer 
800A - FP ACB with microprocessor based protection release - 1 Nos.
# Outgoing 
100A - FP MCCB - 4 Nos.
63A - FP MCB- 2 Nos.
32A - FP MCB - 3 Nos.
16A - FP MCB - 3 Nos.
16A - DP MCB -  10 Nos.</t>
        </is>
      </c>
      <c r="C20" t="inlineStr">
        <is>
          <t>Nos.</t>
        </is>
      </c>
      <c r="D20" t="n">
        <v>1</v>
      </c>
      <c r="E20" t="inlineStr"/>
      <c r="F20" t="inlineStr"/>
      <c r="G20" t="inlineStr"/>
    </row>
    <row r="21">
      <c r="A21" t="n">
        <v>8.199999999999999</v>
      </c>
      <c r="B21" t="inlineStr">
        <is>
          <t xml:space="preserve">BESS DB:  410 V, FP, 10 kA, 1Sec  Form -2, IP 42 Construction 
# Incomer 
200A - 4P MCCB- 1 Nos.
# Outgoing 
100A- 4P MCCB- 11 Nos.
50A - FP MCB - 11 Nos.
32A - DP RCCB - 5 Nos.
</t>
        </is>
      </c>
      <c r="C21" t="inlineStr">
        <is>
          <t>Nos.</t>
        </is>
      </c>
      <c r="D21" t="n">
        <v>1</v>
      </c>
      <c r="E21" t="n">
        <v>25000</v>
      </c>
      <c r="F21" t="n">
        <v>25000</v>
      </c>
      <c r="G21" t="n">
        <v>34025000</v>
      </c>
    </row>
    <row r="22">
      <c r="A22">
        <f>A20+1</f>
        <v/>
      </c>
      <c r="B22" t="inlineStr">
        <is>
          <t>Cables &amp; Terminations</t>
        </is>
      </c>
      <c r="C22" t="inlineStr"/>
      <c r="D22" t="inlineStr"/>
      <c r="E22" t="inlineStr"/>
      <c r="F22" t="inlineStr"/>
      <c r="G22" t="inlineStr"/>
    </row>
    <row r="23">
      <c r="A23">
        <f>A23+(0.1)</f>
        <v/>
      </c>
      <c r="B23" t="inlineStr">
        <is>
          <t>LV Cables</t>
        </is>
      </c>
      <c r="C23" t="inlineStr"/>
      <c r="D23" t="inlineStr"/>
      <c r="E23" t="inlineStr"/>
      <c r="F23" t="inlineStr"/>
      <c r="G23" t="inlineStr"/>
    </row>
    <row r="24">
      <c r="A24">
        <f>A24+(0.1)</f>
        <v/>
      </c>
      <c r="B24" t="inlineStr">
        <is>
          <t>1.8/3 (3.6) kV, 1C x 240 Sq. mm, Cu, XLPE insulation, PVC ST2 inner sheath, Al strip armoured, PVC ST2 outer sheath, FR, UV protected,anti rodent, anti  termite,  as per IEC 60502-1 suitable for 1500V DC from BCP to PCS (8 ckt/PCS)</t>
        </is>
      </c>
      <c r="C24" t="inlineStr">
        <is>
          <t>m</t>
        </is>
      </c>
      <c r="D24" t="n">
        <v>6000</v>
      </c>
      <c r="E24" t="inlineStr"/>
      <c r="F24" t="inlineStr"/>
      <c r="G24" t="inlineStr"/>
    </row>
    <row r="25">
      <c r="A25" t="n">
        <v>10</v>
      </c>
      <c r="B25" t="inlineStr">
        <is>
          <t>MV Cables</t>
        </is>
      </c>
      <c r="C25" t="inlineStr"/>
      <c r="D25" t="inlineStr"/>
      <c r="E25" t="inlineStr"/>
      <c r="F25" t="inlineStr"/>
      <c r="G25" t="inlineStr"/>
    </row>
    <row r="26">
      <c r="A26">
        <f>A26+(0.1)</f>
        <v/>
      </c>
      <c r="B26" t="inlineStr">
        <is>
          <t>19/33 (36) kV, 1C x 240 Sq. mm, Al, XLPE insulation, PVC ST2 inner sheath, Al strip armoured, PVC ST2 outer sheath, FR, UV protected,anti rodent, anti  termite,  as per IEC 60502-2</t>
        </is>
      </c>
      <c r="C26" t="inlineStr">
        <is>
          <t>m</t>
        </is>
      </c>
      <c r="D26" t="n">
        <v>360</v>
      </c>
      <c r="E26" t="inlineStr"/>
      <c r="F26" t="inlineStr"/>
      <c r="G26" t="inlineStr"/>
    </row>
    <row r="27">
      <c r="A27">
        <f>A27+(0.1)</f>
        <v/>
      </c>
      <c r="B27" t="inlineStr">
        <is>
          <t>19/33 (36) kV, 1C x 630 Sq. mm, Al, XLPE insulation, PVC ST2 inner sheath, Al strip armoured, PVC ST2 outer sheath, FR, UV protected,anti rodent, anti  termite,  as per IEC 60502-2</t>
        </is>
      </c>
      <c r="C27" t="inlineStr">
        <is>
          <t>m</t>
        </is>
      </c>
      <c r="D27" t="n">
        <v>440</v>
      </c>
      <c r="E27" t="inlineStr"/>
      <c r="F27" t="inlineStr"/>
      <c r="G27" t="inlineStr"/>
    </row>
    <row r="28">
      <c r="A28">
        <f>A28+(0.1)</f>
        <v/>
      </c>
      <c r="B28" t="inlineStr">
        <is>
          <t>33kV Trefoil Clamps for Above MV Cable</t>
        </is>
      </c>
      <c r="C28" t="inlineStr">
        <is>
          <t>Nos</t>
        </is>
      </c>
      <c r="D28">
        <f>(D27+D28)</f>
        <v/>
      </c>
      <c r="E28" t="inlineStr"/>
      <c r="F28" t="inlineStr"/>
      <c r="G28" t="inlineStr"/>
    </row>
    <row r="29">
      <c r="A29" t="n">
        <v>11</v>
      </c>
      <c r="B29" t="inlineStr">
        <is>
          <t>LV Cables (1.1 kV)</t>
        </is>
      </c>
      <c r="C29" t="inlineStr"/>
      <c r="D29" t="inlineStr"/>
      <c r="E29" t="inlineStr"/>
      <c r="F29" t="inlineStr"/>
      <c r="G29" t="inlineStr"/>
    </row>
    <row r="30">
      <c r="A30">
        <f>A30+(0.1)</f>
        <v/>
      </c>
      <c r="B30" t="inlineStr">
        <is>
          <t>4C X 185 Sqmm cu. cable, XLPE SWA PVC from Aux trafo to LT panel</t>
        </is>
      </c>
      <c r="C30" t="inlineStr">
        <is>
          <t>m</t>
        </is>
      </c>
      <c r="D30" t="n">
        <v>50</v>
      </c>
      <c r="E30" t="n">
        <v>45000</v>
      </c>
      <c r="F30" t="n">
        <v>2250000</v>
      </c>
      <c r="G30" t="n">
        <v>3062250000</v>
      </c>
    </row>
    <row r="31">
      <c r="A31">
        <f>A31+(0.1)</f>
        <v/>
      </c>
      <c r="B31" t="inlineStr">
        <is>
          <t>4c X 35 Sqmm Al. cable, XLPE SWA PVC From LV panle to BCPs</t>
        </is>
      </c>
      <c r="C31" t="inlineStr">
        <is>
          <t>m</t>
        </is>
      </c>
      <c r="D31" t="n">
        <v>300</v>
      </c>
      <c r="E31" t="inlineStr"/>
      <c r="F31" t="inlineStr"/>
      <c r="G31" t="inlineStr"/>
    </row>
    <row r="32">
      <c r="A32">
        <f>A32+(0.1)</f>
        <v/>
      </c>
      <c r="B32" t="inlineStr">
        <is>
          <t>4c X 16 Sqmm Al. cable, XLPE SWA PVC from Lighting to DB</t>
        </is>
      </c>
      <c r="C32" t="inlineStr">
        <is>
          <t>m</t>
        </is>
      </c>
      <c r="D32" t="n">
        <v>100</v>
      </c>
      <c r="E32" t="inlineStr"/>
      <c r="F32" t="inlineStr"/>
      <c r="G32" t="inlineStr"/>
    </row>
    <row r="33">
      <c r="A33">
        <f>A33+(0.1)</f>
        <v/>
      </c>
      <c r="B33" t="inlineStr">
        <is>
          <t>3c X 2.5 Sqmm Cu. (XLPE SWA FR PVC) Class 5 (including Periphery Lighting)</t>
        </is>
      </c>
      <c r="C33" t="inlineStr">
        <is>
          <t>m</t>
        </is>
      </c>
      <c r="D33" t="n">
        <v>350</v>
      </c>
      <c r="E33" t="inlineStr"/>
      <c r="F33" t="inlineStr"/>
      <c r="G33" t="inlineStr"/>
    </row>
    <row r="34">
      <c r="A34">
        <f>A34+(0.1)</f>
        <v/>
      </c>
      <c r="B34" t="inlineStr">
        <is>
          <t>Twisted coloured Pair screened cable 10Px0.5sq.mm Cu cable (Instrumentation Cable RS485)</t>
        </is>
      </c>
      <c r="C34" t="inlineStr">
        <is>
          <t>m</t>
        </is>
      </c>
      <c r="D34" t="n">
        <v>300</v>
      </c>
      <c r="E34" t="inlineStr"/>
      <c r="F34" t="inlineStr"/>
      <c r="G34" t="inlineStr"/>
    </row>
    <row r="35">
      <c r="A35">
        <f>A35+(0.1)</f>
        <v/>
      </c>
      <c r="B35" t="inlineStr">
        <is>
          <t xml:space="preserve">Lugs, Glands &amp; Terminations for 3C x 240 Sq.mm </t>
        </is>
      </c>
      <c r="C35" t="inlineStr">
        <is>
          <t>Nos.</t>
        </is>
      </c>
      <c r="D35">
        <f>64*9</f>
        <v/>
      </c>
      <c r="E35" t="inlineStr"/>
      <c r="F35" t="inlineStr"/>
      <c r="G35" t="inlineStr"/>
    </row>
    <row r="36">
      <c r="A36">
        <f>A36+(0.1)</f>
        <v/>
      </c>
      <c r="B36" t="inlineStr">
        <is>
          <t>C+ Boot type termination for 1Cx240 Sqmm cable at RMU</t>
        </is>
      </c>
      <c r="C36" t="inlineStr">
        <is>
          <t>Nos.</t>
        </is>
      </c>
      <c r="D36" t="n">
        <v>18</v>
      </c>
      <c r="E36" t="inlineStr"/>
      <c r="F36" t="inlineStr"/>
      <c r="G36" t="inlineStr"/>
    </row>
    <row r="37">
      <c r="A37">
        <f>A37+(0.1)</f>
        <v/>
      </c>
      <c r="B37" t="inlineStr">
        <is>
          <t>C+ Boot type termination for 1Cx630 Sqmm cable at RMU</t>
        </is>
      </c>
      <c r="C37" t="inlineStr"/>
      <c r="D37" t="n">
        <v>12</v>
      </c>
      <c r="E37" t="inlineStr"/>
      <c r="F37" t="inlineStr"/>
      <c r="G37" t="inlineStr"/>
    </row>
    <row r="38">
      <c r="A38" t="n">
        <v>12</v>
      </c>
      <c r="B38" t="inlineStr">
        <is>
          <t>Lightening Protection System</t>
        </is>
      </c>
      <c r="C38" t="inlineStr"/>
      <c r="D38" t="inlineStr"/>
      <c r="E38" t="inlineStr"/>
      <c r="F38" t="inlineStr"/>
      <c r="G38" t="inlineStr"/>
    </row>
    <row r="39">
      <c r="A39">
        <f>A39+(0.1)</f>
        <v/>
      </c>
      <c r="B39" t="inlineStr">
        <is>
          <t>Supply of Premix Marconite or equivalent earthing pit  (150 mm dia) with all accessories including Earthing rod 3 mtr depth 17.2mm dia copper bonded steel earth rods combine the advantages of steel strength for deep driving along with corrosion resistance from the molecularly bonded copper, earth chamber, 5 hole bus bar, clamps and SS nut bolts</t>
        </is>
      </c>
      <c r="C39" t="inlineStr">
        <is>
          <t>Nos.</t>
        </is>
      </c>
      <c r="D39" t="n">
        <v>3</v>
      </c>
      <c r="E39" t="inlineStr"/>
      <c r="F39" t="inlineStr"/>
      <c r="G39" t="inlineStr"/>
    </row>
    <row r="40">
      <c r="A40">
        <f>A40+(0.1)</f>
        <v/>
      </c>
      <c r="B40" t="inlineStr">
        <is>
          <t>25 kg bags of marconite for backfill</t>
        </is>
      </c>
      <c r="C40" t="inlineStr">
        <is>
          <t>Nos.</t>
        </is>
      </c>
      <c r="D40">
        <f>D40*2</f>
        <v/>
      </c>
      <c r="E40" t="inlineStr"/>
      <c r="F40" t="inlineStr"/>
      <c r="G40" t="inlineStr"/>
    </row>
    <row r="41">
      <c r="A41">
        <f>A41+(0.1)</f>
        <v/>
      </c>
      <c r="B41" t="inlineStr">
        <is>
          <t>Early Streamer Emission (ESE) type Lightning Protection with all necessary accessories including 3 runs of copper down conductor, guy wire , nut bolt etc. (Protection dia - 107 mtr)</t>
        </is>
      </c>
      <c r="C41" t="inlineStr">
        <is>
          <t>Nos.</t>
        </is>
      </c>
      <c r="D41" t="n">
        <v>1</v>
      </c>
      <c r="E41" t="inlineStr"/>
      <c r="F41" t="inlineStr"/>
      <c r="G41" t="inlineStr"/>
    </row>
    <row r="42">
      <c r="A42">
        <f>A42+(0.1)</f>
        <v/>
      </c>
      <c r="B42" t="inlineStr">
        <is>
          <t>G.I. mast of 7.5 mtrs long 50 mm dia along with the base plate for mounting the ese air terminal with the adaptor and guy wire kit (18 mtrs)</t>
        </is>
      </c>
      <c r="C42" t="inlineStr">
        <is>
          <t>Nos.</t>
        </is>
      </c>
      <c r="D42">
        <f>D42</f>
        <v/>
      </c>
      <c r="E42" t="inlineStr"/>
      <c r="F42" t="inlineStr"/>
      <c r="G42" t="inlineStr"/>
    </row>
    <row r="43">
      <c r="A43">
        <f>A39+1</f>
        <v/>
      </c>
      <c r="B43" t="inlineStr">
        <is>
          <t>Earthing System</t>
        </is>
      </c>
      <c r="C43" t="inlineStr"/>
      <c r="D43" t="inlineStr"/>
      <c r="E43" t="inlineStr"/>
      <c r="F43" t="inlineStr"/>
      <c r="G43" t="inlineStr"/>
    </row>
    <row r="44">
      <c r="A44">
        <f>A44+(0.1)</f>
        <v/>
      </c>
      <c r="B44" t="inlineStr">
        <is>
          <t>Premix Marconite earthing pit (150 mm dia) with all accessories including  Earthing rod 3 mtr depth 17.2mm dia copper bonded steel earth rods combine the advantages of steel strength for deep driving along with corrosion resistance from the molecularly bonded copper, earth chamber, 5 hole bus bar, clamps, backfill materials and SS nut bolts</t>
        </is>
      </c>
      <c r="C44" t="inlineStr">
        <is>
          <t>Nos</t>
        </is>
      </c>
      <c r="D44" t="n">
        <v>30</v>
      </c>
      <c r="E44" t="inlineStr"/>
      <c r="F44" t="inlineStr"/>
      <c r="G44" t="inlineStr"/>
    </row>
    <row r="45">
      <c r="A45">
        <f>A45+(0.1)</f>
        <v/>
      </c>
      <c r="B45" t="inlineStr">
        <is>
          <t xml:space="preserve">25Sqmm Bare copper cable for earth grid </t>
        </is>
      </c>
      <c r="C45" t="inlineStr">
        <is>
          <t>m</t>
        </is>
      </c>
      <c r="D45">
        <f>(110*2+25*2)*1.05</f>
        <v/>
      </c>
      <c r="E45" t="inlineStr"/>
      <c r="F45" t="inlineStr"/>
      <c r="G45" t="inlineStr"/>
    </row>
    <row r="46">
      <c r="A46">
        <f>A46+(0.1)</f>
        <v/>
      </c>
      <c r="B46" t="inlineStr">
        <is>
          <t>1Cx95 sq mm bare copper conductors for PCS</t>
        </is>
      </c>
      <c r="C46" t="inlineStr">
        <is>
          <t>m</t>
        </is>
      </c>
      <c r="D46">
        <f>20*2*2</f>
        <v/>
      </c>
      <c r="E46" t="inlineStr"/>
      <c r="F46" t="inlineStr"/>
      <c r="G46" t="inlineStr"/>
    </row>
    <row r="47">
      <c r="A47">
        <f>A47+(0.1)</f>
        <v/>
      </c>
      <c r="B47" t="inlineStr">
        <is>
          <t>1Cx95 sq mm bare copper conductors for battery container</t>
        </is>
      </c>
      <c r="C47" t="inlineStr">
        <is>
          <t>m</t>
        </is>
      </c>
      <c r="D47">
        <f>9*2*2</f>
        <v/>
      </c>
      <c r="E47" t="n">
        <v>700000</v>
      </c>
      <c r="F47" t="inlineStr"/>
      <c r="G47" t="inlineStr"/>
    </row>
    <row r="48">
      <c r="A48">
        <f>A48+(0.1)</f>
        <v/>
      </c>
      <c r="B48" t="inlineStr">
        <is>
          <t>Exothermic welding for 50 sqmm copper. to 50 Sqmm cu. grid conductor</t>
        </is>
      </c>
      <c r="C48" t="inlineStr">
        <is>
          <t>nos</t>
        </is>
      </c>
      <c r="D48">
        <f>D48+D47</f>
        <v/>
      </c>
      <c r="E48" t="inlineStr"/>
      <c r="F48" t="inlineStr"/>
      <c r="G48" t="inlineStr"/>
    </row>
    <row r="49">
      <c r="A49">
        <f>A49+(0.1)</f>
        <v/>
      </c>
      <c r="B49" t="inlineStr">
        <is>
          <t>Exothermic welding for 50 sqmm copper. to 70 Sqmm cu. grid cable</t>
        </is>
      </c>
      <c r="C49" t="inlineStr">
        <is>
          <t>nos</t>
        </is>
      </c>
      <c r="D49">
        <f>D49</f>
        <v/>
      </c>
      <c r="E49" t="inlineStr"/>
      <c r="F49" t="inlineStr"/>
      <c r="G49" t="inlineStr"/>
    </row>
    <row r="50">
      <c r="A50">
        <f>A50+(0.1)</f>
        <v/>
      </c>
      <c r="B50" t="inlineStr">
        <is>
          <t>25 kg bags of marconite for backfill</t>
        </is>
      </c>
      <c r="C50" t="inlineStr">
        <is>
          <t>nos</t>
        </is>
      </c>
      <c r="D50">
        <f>D45*2</f>
        <v/>
      </c>
      <c r="E50" t="inlineStr"/>
      <c r="F50" t="inlineStr"/>
      <c r="G50" t="inlineStr"/>
    </row>
    <row r="51">
      <c r="A51">
        <f>A44+1</f>
        <v/>
      </c>
      <c r="B51" t="inlineStr">
        <is>
          <t>Plant Illumination</t>
        </is>
      </c>
      <c r="C51" t="inlineStr"/>
      <c r="D51" t="inlineStr"/>
      <c r="E51" t="inlineStr"/>
      <c r="F51" t="inlineStr"/>
      <c r="G51" t="inlineStr"/>
    </row>
    <row r="52">
      <c r="A52">
        <f>A52+(0.1)</f>
        <v/>
      </c>
      <c r="B52" t="inlineStr">
        <is>
          <t>GI Street light pole and single arm (2.5 mtr) with shed on LED and Junction box.</t>
        </is>
      </c>
      <c r="C52" t="inlineStr">
        <is>
          <t>Nos.</t>
        </is>
      </c>
      <c r="D52" t="n">
        <v>12</v>
      </c>
      <c r="E52" t="inlineStr"/>
      <c r="F52" t="inlineStr"/>
      <c r="G52" t="inlineStr"/>
    </row>
    <row r="53">
      <c r="A53">
        <f>A53+(0.1)</f>
        <v/>
      </c>
      <c r="B53" t="inlineStr">
        <is>
          <t>1 x 30 W weather proof LED street light fitting mounted on 2.5 meter GI pole (Peripheral Illumination shall be through LED light) .</t>
        </is>
      </c>
      <c r="C53" t="inlineStr">
        <is>
          <t>Nos.</t>
        </is>
      </c>
      <c r="D53">
        <f>D53</f>
        <v/>
      </c>
      <c r="E53" t="inlineStr"/>
      <c r="F53" t="inlineStr"/>
      <c r="G53" t="inlineStr"/>
    </row>
    <row r="54">
      <c r="A54">
        <f>A54+(0.1)</f>
        <v/>
      </c>
      <c r="B54" t="inlineStr">
        <is>
          <t>IP 65 Junction / Battery box with installation clamps to be mounted on light pole - 3 way TBs, 1 no 6 A SP MCB</t>
        </is>
      </c>
      <c r="C54" t="inlineStr">
        <is>
          <t>Nos.</t>
        </is>
      </c>
      <c r="D54">
        <f>D53</f>
        <v/>
      </c>
      <c r="E54" t="inlineStr"/>
      <c r="F54" t="inlineStr"/>
      <c r="G54" t="inlineStr"/>
    </row>
    <row r="55">
      <c r="A55">
        <f>A55+(0.1)</f>
        <v/>
      </c>
      <c r="B55" t="inlineStr">
        <is>
          <t>Flood light (2x 150W) with JB for MCR, Gate house, workshop etc buildings</t>
        </is>
      </c>
      <c r="C55" t="inlineStr">
        <is>
          <t>Nos.</t>
        </is>
      </c>
      <c r="D55" t="n">
        <v>1</v>
      </c>
      <c r="E55" t="inlineStr"/>
      <c r="F55" t="inlineStr"/>
      <c r="G55" t="inlineStr"/>
    </row>
    <row r="56">
      <c r="A56" t="n">
        <v>15</v>
      </c>
      <c r="B56" t="inlineStr">
        <is>
          <t>CCTV SYSTEM</t>
        </is>
      </c>
      <c r="C56" t="inlineStr"/>
      <c r="D56" t="inlineStr"/>
      <c r="E56" t="inlineStr"/>
      <c r="F56" t="inlineStr"/>
      <c r="G56" t="inlineStr"/>
    </row>
    <row r="57">
      <c r="A57">
        <f>A57+(0.1)</f>
        <v/>
      </c>
      <c r="B57" t="inlineStr">
        <is>
          <t>Bullet with IR camera for outdoor Application with 5 mtr GI pole</t>
        </is>
      </c>
      <c r="C57" t="inlineStr"/>
      <c r="D57" t="n">
        <v>5</v>
      </c>
      <c r="E57" t="inlineStr"/>
      <c r="F57" t="inlineStr"/>
      <c r="G57" t="inlineStr"/>
    </row>
    <row r="58">
      <c r="A58">
        <f>A58+(0.1)</f>
        <v/>
      </c>
      <c r="B58" t="inlineStr">
        <is>
          <t>Intruder Alarm System with SCADA interface functionality</t>
        </is>
      </c>
      <c r="C58" t="inlineStr">
        <is>
          <t>Lot</t>
        </is>
      </c>
      <c r="D58" t="n">
        <v>0</v>
      </c>
      <c r="E58" t="n">
        <v>100000</v>
      </c>
      <c r="F58" t="n">
        <v>0</v>
      </c>
      <c r="G58" t="n">
        <v>0</v>
      </c>
    </row>
    <row r="59">
      <c r="A59">
        <f>A59+(0.1)</f>
        <v/>
      </c>
      <c r="B59" t="inlineStr">
        <is>
          <t>Access Control System with all required accessories</t>
        </is>
      </c>
      <c r="C59" t="inlineStr">
        <is>
          <t>Lot</t>
        </is>
      </c>
      <c r="D59" t="n">
        <v>0</v>
      </c>
      <c r="E59" t="inlineStr"/>
      <c r="F59" t="inlineStr"/>
      <c r="G59" t="inlineStr"/>
    </row>
    <row r="60">
      <c r="A60">
        <f>A60+(0.1)</f>
        <v/>
      </c>
      <c r="B60" t="inlineStr">
        <is>
          <t>Dome type camera for Main Control room Building (Indoor)</t>
        </is>
      </c>
      <c r="C60" t="inlineStr">
        <is>
          <t>Nos.</t>
        </is>
      </c>
      <c r="D60" t="n">
        <v>0</v>
      </c>
      <c r="E60" t="inlineStr"/>
      <c r="F60" t="inlineStr"/>
      <c r="G60" t="inlineStr"/>
    </row>
    <row r="61">
      <c r="A61">
        <f>A61+(0.1)</f>
        <v/>
      </c>
      <c r="B61" t="inlineStr">
        <is>
          <t>Optical image Bullet camera at Main Gate</t>
        </is>
      </c>
      <c r="C61" t="inlineStr">
        <is>
          <t>Nos.</t>
        </is>
      </c>
      <c r="D61" t="n">
        <v>1</v>
      </c>
      <c r="E61" t="inlineStr"/>
      <c r="F61" t="inlineStr"/>
      <c r="G61" t="inlineStr"/>
    </row>
    <row r="62">
      <c r="A62" t="n">
        <v>16</v>
      </c>
      <c r="B62" t="inlineStr">
        <is>
          <t>Communication  cable and accessories</t>
        </is>
      </c>
      <c r="C62" t="inlineStr"/>
      <c r="D62" t="inlineStr"/>
      <c r="E62" t="inlineStr"/>
      <c r="F62" t="inlineStr"/>
      <c r="G62" t="inlineStr"/>
    </row>
    <row r="63">
      <c r="A63">
        <f>A63+(0.1)</f>
        <v/>
      </c>
      <c r="B63" t="inlineStr">
        <is>
          <t>6 Fiber, single mode, armoured fibre optic cable (FO Cable)</t>
        </is>
      </c>
      <c r="C63" t="inlineStr">
        <is>
          <t>M</t>
        </is>
      </c>
      <c r="D63" t="n">
        <v>400</v>
      </c>
      <c r="E63" t="inlineStr"/>
      <c r="F63" t="inlineStr"/>
      <c r="G63" t="inlineStr"/>
    </row>
    <row r="64">
      <c r="A64">
        <f>A64+(0.1)</f>
        <v/>
      </c>
      <c r="B64" t="inlineStr">
        <is>
          <t>PVC Conduit for 6 Fibre, single mode, armoured fibre optic cable</t>
        </is>
      </c>
      <c r="C64" t="inlineStr">
        <is>
          <t>M</t>
        </is>
      </c>
      <c r="D64">
        <f>D66*0.9</f>
        <v/>
      </c>
      <c r="E64" t="inlineStr"/>
      <c r="F64" t="inlineStr"/>
      <c r="G64" t="inlineStr"/>
    </row>
    <row r="65">
      <c r="A65">
        <f>A65+(0.1)</f>
        <v/>
      </c>
      <c r="B65" t="inlineStr">
        <is>
          <t xml:space="preserve">Cat 6 Cable </t>
        </is>
      </c>
      <c r="C65" t="inlineStr">
        <is>
          <t>M</t>
        </is>
      </c>
      <c r="D65">
        <f>80*D58</f>
        <v/>
      </c>
      <c r="E65" t="inlineStr"/>
      <c r="F65" t="inlineStr"/>
      <c r="G65" t="inlineStr"/>
    </row>
    <row r="66">
      <c r="A66">
        <f>A66+(0.1)</f>
        <v/>
      </c>
      <c r="B66" t="inlineStr">
        <is>
          <t xml:space="preserve">Rack with Switch for camera with IP66 Enclosure, managed switch. LIU etc </t>
        </is>
      </c>
      <c r="C66" t="inlineStr">
        <is>
          <t>Nos.</t>
        </is>
      </c>
      <c r="D66" t="n">
        <v>2</v>
      </c>
      <c r="E66" t="inlineStr"/>
      <c r="F66" t="inlineStr"/>
      <c r="G66" t="inlineStr"/>
    </row>
    <row r="67">
      <c r="A67" t="n">
        <v>17</v>
      </c>
      <c r="B67" t="inlineStr">
        <is>
          <t>Miscellaneous</t>
        </is>
      </c>
      <c r="C67" t="inlineStr"/>
      <c r="D67" t="inlineStr"/>
      <c r="E67" t="inlineStr"/>
      <c r="F67" t="inlineStr"/>
      <c r="G67" t="inlineStr"/>
    </row>
    <row r="68">
      <c r="A68">
        <f>A68+(0.1)</f>
        <v/>
      </c>
      <c r="B68" t="inlineStr">
        <is>
          <t xml:space="preserve">First Aid Box </t>
        </is>
      </c>
      <c r="C68" t="inlineStr">
        <is>
          <t>Nos.</t>
        </is>
      </c>
      <c r="D68" t="n">
        <v>1</v>
      </c>
      <c r="E68" t="inlineStr"/>
      <c r="F68" t="inlineStr"/>
      <c r="G68" t="inlineStr"/>
    </row>
    <row r="69">
      <c r="A69">
        <f>A69+(0.1)</f>
        <v/>
      </c>
      <c r="B69" t="inlineStr">
        <is>
          <t>30 kV Danger Boards</t>
        </is>
      </c>
      <c r="C69" t="inlineStr">
        <is>
          <t>Nos.</t>
        </is>
      </c>
      <c r="D69" t="n">
        <v>14</v>
      </c>
      <c r="E69" t="inlineStr"/>
      <c r="F69" t="inlineStr"/>
      <c r="G69" t="inlineStr"/>
    </row>
    <row r="70">
      <c r="A70">
        <f>A70+(0.1)</f>
        <v/>
      </c>
      <c r="B70" t="inlineStr">
        <is>
          <t>Shock hazard charts duly framed</t>
        </is>
      </c>
      <c r="C70" t="inlineStr">
        <is>
          <t>Nos.</t>
        </is>
      </c>
      <c r="D70">
        <f>D70</f>
        <v/>
      </c>
      <c r="E70" t="inlineStr"/>
      <c r="F70" t="inlineStr"/>
      <c r="G70" t="inlineStr"/>
    </row>
    <row r="71">
      <c r="A71">
        <f>A71+(0.1)</f>
        <v/>
      </c>
      <c r="B71" t="inlineStr">
        <is>
          <t>30KV Hand gloves pairs</t>
        </is>
      </c>
      <c r="C71" t="inlineStr">
        <is>
          <t>Pairs</t>
        </is>
      </c>
      <c r="D71" t="n">
        <v>2</v>
      </c>
      <c r="E71" t="inlineStr"/>
      <c r="F71" t="inlineStr"/>
      <c r="G71" t="inlineStr"/>
    </row>
    <row r="72">
      <c r="A72">
        <f>A72+(0.1)</f>
        <v/>
      </c>
      <c r="B72" t="inlineStr">
        <is>
          <t>Sand Buckets with MS stand</t>
        </is>
      </c>
      <c r="C72" t="inlineStr">
        <is>
          <t>Sets</t>
        </is>
      </c>
      <c r="D72">
        <f>D71</f>
        <v/>
      </c>
      <c r="E72" t="inlineStr"/>
      <c r="F72" t="inlineStr"/>
      <c r="G72" t="inlineStr"/>
    </row>
    <row r="73">
      <c r="A73">
        <f>A73+(0.1)</f>
        <v/>
      </c>
      <c r="B73" t="inlineStr">
        <is>
          <t>Warning &amp; Caution Sign</t>
        </is>
      </c>
      <c r="C73" t="inlineStr">
        <is>
          <t>Lot</t>
        </is>
      </c>
      <c r="D73" t="n">
        <v>2</v>
      </c>
      <c r="E73" t="inlineStr"/>
      <c r="F73" t="inlineStr"/>
      <c r="G73" t="inlineStr"/>
    </row>
    <row r="74">
      <c r="A74">
        <f>A74+(0.1)</f>
        <v/>
      </c>
      <c r="B74" t="inlineStr">
        <is>
          <t>Arc Suit</t>
        </is>
      </c>
      <c r="C74" t="inlineStr">
        <is>
          <t>No.</t>
        </is>
      </c>
      <c r="D74" t="n">
        <v>2</v>
      </c>
      <c r="E74" t="inlineStr"/>
      <c r="F74" t="inlineStr"/>
      <c r="G74" t="inlineStr"/>
    </row>
    <row r="75">
      <c r="A75">
        <f>A75+(0.1)</f>
        <v/>
      </c>
      <c r="B75" t="inlineStr">
        <is>
          <t xml:space="preserve">Fire &amp; Water Sealants </t>
        </is>
      </c>
      <c r="C75" t="inlineStr">
        <is>
          <t>LS</t>
        </is>
      </c>
      <c r="D75" t="n">
        <v>1</v>
      </c>
      <c r="E75" t="inlineStr"/>
      <c r="F75" t="inlineStr"/>
      <c r="G75" t="inlineStr"/>
    </row>
    <row r="76">
      <c r="A76">
        <f>A76+(0.1)</f>
        <v/>
      </c>
      <c r="B76" t="inlineStr">
        <is>
          <t>Rubber Mat</t>
        </is>
      </c>
      <c r="C76" t="inlineStr">
        <is>
          <t>Lot</t>
        </is>
      </c>
      <c r="D76" t="n">
        <v>1</v>
      </c>
      <c r="E76" t="inlineStr"/>
      <c r="F76" t="inlineStr"/>
      <c r="G76" t="inlineStr"/>
    </row>
    <row r="77">
      <c r="A77">
        <f>A77+(0.1)</f>
        <v/>
      </c>
      <c r="B77" t="inlineStr">
        <is>
          <t>Cable Ties, Cable Tags, Cable Clamps, Labels, cable warning tape,Cable protection Tiles/Bricks</t>
        </is>
      </c>
      <c r="C77" t="inlineStr">
        <is>
          <t>Lot</t>
        </is>
      </c>
      <c r="D77" t="n">
        <v>1</v>
      </c>
      <c r="E77" t="inlineStr"/>
      <c r="F77" t="inlineStr"/>
      <c r="G77" t="inlineStr"/>
    </row>
    <row r="78">
      <c r="A78">
        <f>A78+(0.1)</f>
        <v/>
      </c>
      <c r="B78" t="inlineStr">
        <is>
          <t xml:space="preserve">200 mm dia.(ID),  6m long , RCC, heavy duty hume pipe   </t>
        </is>
      </c>
      <c r="C78" t="inlineStr">
        <is>
          <t>Nos.</t>
        </is>
      </c>
      <c r="D78" t="n">
        <v>1</v>
      </c>
      <c r="E78" t="inlineStr"/>
      <c r="F78" t="inlineStr"/>
      <c r="G78" t="inlineStr"/>
    </row>
    <row r="79">
      <c r="A79">
        <f>A79+(0.1)</f>
        <v/>
      </c>
      <c r="B79" t="inlineStr">
        <is>
          <t>CO₂ extinguishers -10KG</t>
        </is>
      </c>
      <c r="C79" t="inlineStr">
        <is>
          <t>Nos.</t>
        </is>
      </c>
      <c r="D79">
        <f>D73</f>
        <v/>
      </c>
      <c r="E79" t="inlineStr"/>
      <c r="F79" t="inlineStr"/>
      <c r="G79" t="inlineStr"/>
    </row>
    <row r="80">
      <c r="A80" t="inlineStr"/>
      <c r="B80" t="inlineStr">
        <is>
          <t>Total Amount in USD =</t>
        </is>
      </c>
      <c r="C80" t="inlineStr"/>
      <c r="D80" t="inlineStr"/>
      <c r="E80" t="inlineStr"/>
      <c r="F80" t="inlineStr"/>
      <c r="G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2026-06-20T20:17:50Z</dcterms:created>
  <dcterms:modified xmlns:dcterms="http://purl.org/dc/terms/" xmlns:xsi="http://www.w3.org/2001/XMLSchema-instance" xsi:type="dcterms:W3CDTF">2026-06-20T20:17:50Z</dcterms:modified>
</cp:coreProperties>
</file>